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Rates" sheetId="2" state="visible" r:id="rId4"/>
  </sheets>
  <definedNames>
    <definedName function="false" hidden="false" name="TaxRate" vbProcedure="false">Rates!$B$1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<sst xmlns="http://schemas.openxmlformats.org/spreadsheetml/2006/main" count="22" uniqueCount="20">
  <si>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Quarter orders</t>
  </si>
  <si>
    <t xml:space="preserve">Item</t>
  </si>
  <si>
    <t xml:space="preserve">Units</t>
  </si>
  <si>
    <t xml:space="preserve">Price</t>
  </si>
  <si>
    <t xml:space="preserve">Total</t>
  </si>
  <si>
    <t xml:space="preserve">Due</t>
  </si>
  <si>
    <t xml:space="preserve">Code</t>
  </si>
  <si>
    <t xml:space="preserve">Paid</t>
  </si>
  <si>
    <t xml:space="preserve">Widget</t>
  </si>
  <si>
    <t xml:space="preserve">007</t>
  </si>
  <si>
    <t xml:space="preserve">Gadget</t>
  </si>
  <si>
    <t xml:space="preserve">012</t>
  </si>
  <si>
    <t xml:space="preserve">Gizmo</t>
  </si>
  <si>
    <t xml:space="preserve">100</t>
  </si>
  <si>
    <t xml:space="preserve">Doohickey</t>
  </si>
  <si>
    <t xml:space="preserve">042</t>
  </si>
  <si>
    <t xml:space="preserve">Tax</t>
  </si>
  <si>
    <t xml:space="preserve">Share of the first</t>
  </si>
  <si>
    <t xml:space="preserve">Tax, read across</t>
  </si>
  <si>
    <t xml:space="preserve">hidden working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</si>
</sst>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$-409]#,##0.00"/>
    <numFmt numFmtId="166" formatCode="yyyy\-mm\-dd"/>
    <numFmt numFmtId="167" formatCode="@"/>
    <numFmt numFmtId="168" formatCode="0.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45"/>
    <col collapsed="false" customWidth="true" hidden="false" outlineLevel="0" max="5" min="5" style="0" width="13.28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3" customFormat="fals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3" t="n">
        <v>4.5</v>
      </c>
      <c r="D4" s="3" t="n">
        <f aca="false">B4*C4</f>
        <v>13.5</v>
      </c>
      <c r="E4" s="4" t="n">
        <f aca="false">DATEVALUE("2026-09-24")</f>
        <v>46289</v>
      </c>
      <c r="F4" s="5" t="s">
        <v>9</v>
      </c>
      <c r="G4" s="6" t="b">
        <f aca="false">TRUE()</f>
        <v>1</v>
      </c>
    </row>
    <row r="5" customFormat="false" ht="12.8" hidden="false" customHeight="false" outlineLevel="0" collapsed="false">
      <c r="A5" s="0" t="s">
        <v>10</v>
      </c>
      <c r="B5" s="0" t="n">
        <v>5</v>
      </c>
      <c r="C5" s="3" t="n">
        <v>6</v>
      </c>
      <c r="D5" s="3" t="n">
        <f aca="false">B5*C5</f>
        <v>30</v>
      </c>
      <c r="E5" s="4" t="n">
        <f aca="false">DATEVALUE("2026-10-01")</f>
        <v>46296</v>
      </c>
      <c r="F5" s="5" t="s">
        <v>11</v>
      </c>
      <c r="G5" s="6" t="b">
        <f aca="false">FALSE()</f>
        <v>0</v>
      </c>
    </row>
    <row r="6" customFormat="false" ht="12.8" hidden="false" customHeight="false" outlineLevel="0" collapsed="false">
      <c r="A6" s="0" t="s">
        <v>12</v>
      </c>
      <c r="B6" s="0" t="n">
        <v>7</v>
      </c>
      <c r="C6" s="3" t="n">
        <v>8.25</v>
      </c>
      <c r="D6" s="3" t="n">
        <f aca="false">B6*C6</f>
        <v>57.75</v>
      </c>
      <c r="E6" s="4" t="n">
        <f aca="false">DATEVALUE("2026-10-15")</f>
        <v>46310</v>
      </c>
      <c r="F6" s="5" t="s">
        <v>13</v>
      </c>
      <c r="G6" s="6" t="b">
        <f aca="false">TRUE()</f>
        <v>1</v>
      </c>
    </row>
    <row r="7" customFormat="false" ht="12.8" hidden="false" customHeight="false" outlineLevel="0" collapsed="false">
      <c r="A7" s="0" t="s">
        <v>14</v>
      </c>
      <c r="B7" s="0" t="n">
        <v>2</v>
      </c>
      <c r="C7" s="3" t="n">
        <v>19.99</v>
      </c>
      <c r="D7" s="3" t="n">
        <f aca="false">B7*C7</f>
        <v>39.98</v>
      </c>
      <c r="E7" s="4" t="n">
        <f aca="false">DATEVALUE("2026-11-02")</f>
        <v>46328</v>
      </c>
      <c r="F7" s="5" t="s">
        <v>15</v>
      </c>
      <c r="G7" s="6" t="b">
        <f aca="false">FALSE()</f>
        <v>0</v>
      </c>
    </row>
    <row r="8" customFormat="false" ht="12.8" hidden="false" customHeight="false" outlineLevel="0" collapsed="false">
      <c r="A8" s="7" t="s">
        <v>4</v>
      </c>
      <c r="D8" s="3" t="n">
        <f aca="false">SUM(D4:D7)</f>
        <v>141.23</v>
      </c>
    </row>
    <row r="9" customFormat="false" ht="12.8" hidden="false" customHeight="false" outlineLevel="0" collapsed="false">
      <c r="A9" s="0" t="s">
        <v>16</v>
      </c>
      <c r="D9" s="3" t="n">
        <f aca="false">D8*TaxRate</f>
        <v>11.2984</v>
      </c>
    </row>
    <row r="10" customFormat="false" ht="12.8" hidden="false" customHeight="false" outlineLevel="0" collapsed="false">
      <c r="A10" s="0" t="s">
        <v>17</v>
      </c>
      <c r="D10" s="8" t="n">
        <f aca="false">D4/D8</f>
        <v>0.0955887559300432</v>
      </c>
    </row>
    <row r="11" customFormat="false" ht="12.8" hidden="false" customHeight="false" outlineLevel="0" collapsed="false">
      <c r="A11" s="0" t="s">
        <v>18</v>
      </c>
      <c r="D11" s="3" t="n">
        <f aca="false">D8*Rates!B1</f>
        <v>11.2984</v>
      </c>
    </row>
    <row r="12" customFormat="false" ht="12.8" hidden="true" customHeight="false" outlineLevel="0" collapsed="false">
      <c r="A12" s="0" t="s">
        <v>19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16</v>
      </c>
      <c r="B1" s="0" t="n">
        <v>0.08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2026-09-26T12:46:26Z</dcterms:modified>
  <cp:revision>1</cp:revision>
  <dc:subject/>
  <dc:title/>
</cp:coreProperties>
</file>